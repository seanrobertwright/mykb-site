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lot Count" sheetId="1" state="visible" r:id="rId3"/>
    <sheet name="Example" sheetId="2" state="visible" r:id="rId4"/>
  </sheets>
  <definedNames>
    <definedName function="false" hidden="false" localSheetId="0" name="_xlnm.Print_Area" vbProcedure="false">'Ballot Count'!$A$1:$O$44</definedName>
    <definedName function="false" hidden="false" localSheetId="1" name="_xlnm.Print_Area" vbProcedure="false">Example!$A$1:$O$44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Public counter reading on the tabulator when the polls opened. Tabulator Count = Reading - Start Count + Adj.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Public counter reading on the tabulator when the polls opened. Tabulator Count = Reading - Start Count + Adj.</t>
        </r>
      </text>
    </comment>
  </commentList>
</comments>
</file>

<file path=xl/sharedStrings.xml><?xml version="1.0" encoding="utf-8"?>
<sst xmlns="http://schemas.openxmlformats.org/spreadsheetml/2006/main" count="66" uniqueCount="35">
  <si>
    <t xml:space="preserve">CITY OF TORRINGTON, CONNECTICUT</t>
  </si>
  <si>
    <t xml:space="preserve">Registrar of Voters  •  140 Main Street, Torrington, CT 06790  •  www.torringtonct.gov</t>
  </si>
  <si>
    <t xml:space="preserve">Voting Poll Ballot Count</t>
  </si>
  <si>
    <t xml:space="preserve">Polling Place:</t>
  </si>
  <si>
    <t xml:space="preserve">Election:</t>
  </si>
  <si>
    <t xml:space="preserve">District:</t>
  </si>
  <si>
    <t xml:space="preserve">Election Date:</t>
  </si>
  <si>
    <t xml:space="preserve">Tabulator Start Count:</t>
  </si>
  <si>
    <t xml:space="preserve">Checkers</t>
  </si>
  <si>
    <t xml:space="preserve">Ballots by Section</t>
  </si>
  <si>
    <t xml:space="preserve">Tabulator</t>
  </si>
  <si>
    <t xml:space="preserve">Time</t>
  </si>
  <si>
    <t xml:space="preserve">CHK 1</t>
  </si>
  <si>
    <t xml:space="preserve">CHK 2</t>
  </si>
  <si>
    <t xml:space="preserve">Checker
Total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</si>
  <si>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</si>
  <si>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</si>
  <si>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</si>
  <si>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</si>
  <si>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</si>
  <si>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</si>
  <si>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Total
Ballots</t>
  </si>
  <si>
    <t xml:space="preserve">Tabulator
Reading</t>
  </si>
  <si>
    <t xml:space="preserve">Adj.
(+/-)</t>
  </si>
  <si>
    <t xml:space="preserve">Tabulator
Count</t>
  </si>
  <si>
    <t xml:space="preserve">Initials / Notes</t>
  </si>
  <si>
    <t xml:space="preserve">Fill in the shaded yellow cells only. Checker Total, Total Ballots and Tabulator Count calculate automatically. Tabulator Count = Reading - Start Count + Adj.</t>
  </si>
  <si>
    <t xml:space="preserve">Certified by:</t>
  </si>
  <si>
    <t xml:space="preserve">Name (Print)</t>
  </si>
  <si>
    <t xml:space="preserve">Signature</t>
  </si>
  <si>
    <t xml:space="preserve">Date</t>
  </si>
  <si>
    <t xml:space="preserve">Example Polling Place</t>
  </si>
  <si>
    <t xml:space="preserve">Example Election</t>
  </si>
  <si>
    <t xml:space="preserve">Example</t>
  </si>
  <si>
    <t xml:space="preserve">Sample data from paper tally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</si>
</sst>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#,##0"/>
    <numFmt numFmtId="167" formatCode="h:mm\ AM/P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1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FFF9DB"/>
        <bgColor rgb="FFF4F6FA"/>
      </patternFill>
    </fill>
    <fill>
      <patternFill patternType="solid">
        <fgColor rgb="FFDCE3F0"/>
        <bgColor rgb="FFF4F6FA"/>
      </patternFill>
    </fill>
    <fill>
      <patternFill patternType="solid">
        <fgColor rgb="FFF4F6FA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medium">
        <color rgb="FF1F3864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DB"/>
      <rgbColor rgb="FFF4F6FA"/>
      <rgbColor rgb="FF660066"/>
      <rgbColor rgb="FFFF8080"/>
      <rgbColor rgb="FF0066CC"/>
      <rgbColor rgb="FFDC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7"/>
    <col collapsed="false" customWidth="true" hidden="false" outlineLevel="0" max="4" min="4" style="0" width="9"/>
    <col collapsed="false" customWidth="true" hidden="false" outlineLevel="0" max="10" min="5" style="0" width="6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4" min="14" style="0" width="10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5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customFormat="false" ht="15" hidden="false" customHeight="false" outlineLevel="0" collapsed="false">
      <c r="A6" s="5" t="s">
        <v>3</v>
      </c>
      <c r="C6" s="6"/>
      <c r="D6" s="6"/>
      <c r="E6" s="6"/>
      <c r="F6" s="6"/>
      <c r="G6" s="6"/>
      <c r="H6" s="6"/>
      <c r="I6" s="5" t="s">
        <v>4</v>
      </c>
      <c r="K6" s="6"/>
      <c r="L6" s="6"/>
      <c r="M6" s="6"/>
      <c r="N6" s="6"/>
      <c r="O6" s="6"/>
    </row>
    <row r="7" customFormat="false" ht="15" hidden="false" customHeight="false" outlineLevel="0" collapsed="false">
      <c r="A7" s="5" t="s">
        <v>5</v>
      </c>
      <c r="C7" s="6"/>
      <c r="D7" s="6"/>
      <c r="E7" s="6"/>
      <c r="F7" s="6"/>
      <c r="G7" s="6"/>
      <c r="H7" s="6"/>
      <c r="I7" s="5" t="s">
        <v>6</v>
      </c>
      <c r="K7" s="7"/>
      <c r="L7" s="7"/>
      <c r="M7" s="7"/>
      <c r="N7" s="7"/>
      <c r="O7" s="7"/>
    </row>
    <row r="8" customFormat="false" ht="15" hidden="false" customHeight="false" outlineLevel="0" collapsed="false">
      <c r="A8" s="5" t="s">
        <v>7</v>
      </c>
      <c r="E8" s="8"/>
      <c r="F8" s="8"/>
    </row>
    <row r="10" customFormat="false" ht="15" hidden="false" customHeight="true" outlineLevel="0" collapsed="false">
      <c r="A10" s="9"/>
      <c r="B10" s="9" t="s">
        <v>8</v>
      </c>
      <c r="C10" s="9"/>
      <c r="D10" s="9"/>
      <c r="E10" s="9" t="s">
        <v>9</v>
      </c>
      <c r="F10" s="9"/>
      <c r="G10" s="9"/>
      <c r="H10" s="9"/>
      <c r="I10" s="9"/>
      <c r="J10" s="9"/>
      <c r="K10" s="9"/>
      <c r="L10" s="9" t="s">
        <v>10</v>
      </c>
      <c r="M10" s="9"/>
      <c r="N10" s="9"/>
      <c r="O10" s="9"/>
    </row>
    <row r="11" customFormat="false" ht="27.75" hidden="false" customHeight="true" outlineLevel="0" collapsed="false">
      <c r="A11" s="10" t="s">
        <v>11</v>
      </c>
      <c r="B11" s="10" t="s">
        <v>12</v>
      </c>
      <c r="C11" s="10" t="s">
        <v>13</v>
      </c>
      <c r="D11" s="10" t="s">
        <v>14</v>
      </c>
      <c r="E11" s="10" t="s">
        <v>15</v>
      </c>
      <c r="F11" s="10" t="s">
        <v>16</v>
      </c>
      <c r="G11" s="10" t="s">
        <v>17</v>
      </c>
      <c r="H11" s="10" t="s">
        <v>18</v>
      </c>
      <c r="I11" s="10" t="s">
        <v>19</v>
      </c>
      <c r="J11" s="10" t="s">
        <v>20</v>
      </c>
      <c r="K11" s="10" t="s">
        <v>21</v>
      </c>
      <c r="L11" s="10" t="s">
        <v>22</v>
      </c>
      <c r="M11" s="10" t="s">
        <v>23</v>
      </c>
      <c r="N11" s="10" t="s">
        <v>24</v>
      </c>
      <c r="O11" s="10" t="s">
        <v>25</v>
      </c>
    </row>
    <row r="12" customFormat="false" ht="19.5" hidden="false" customHeight="true" outlineLevel="0" collapsed="false">
      <c r="A12" s="11" t="n">
        <v>0.25</v>
      </c>
      <c r="B12" s="12"/>
      <c r="C12" s="12"/>
      <c r="D12" s="13" t="str">
        <f aca="false">IF(COUNT(B12:C12)=0,"",SUM(B12:C12))</f>
        <v/>
      </c>
      <c r="E12" s="12"/>
      <c r="F12" s="12"/>
      <c r="G12" s="12"/>
      <c r="H12" s="12"/>
      <c r="I12" s="12"/>
      <c r="J12" s="12"/>
      <c r="K12" s="13" t="str">
        <f aca="false">IF(COUNT(E12:J12)=0,"",SUM(E12:J12))</f>
        <v/>
      </c>
      <c r="L12" s="12"/>
      <c r="M12" s="12"/>
      <c r="N12" s="13" t="str">
        <f aca="false">IF(L12="","",L12-$E$8+N(M12))</f>
        <v/>
      </c>
      <c r="O12" s="14"/>
    </row>
    <row r="13" customFormat="false" ht="19.5" hidden="false" customHeight="true" outlineLevel="0" collapsed="false">
      <c r="A13" s="15" t="n">
        <v>0.270833333333333</v>
      </c>
      <c r="B13" s="12"/>
      <c r="C13" s="12"/>
      <c r="D13" s="16" t="str">
        <f aca="false">IF(COUNT(B13:C13)=0,"",SUM(B13:C13))</f>
        <v/>
      </c>
      <c r="E13" s="12"/>
      <c r="F13" s="12"/>
      <c r="G13" s="12"/>
      <c r="H13" s="12"/>
      <c r="I13" s="12"/>
      <c r="J13" s="12"/>
      <c r="K13" s="16" t="str">
        <f aca="false">IF(COUNT(E13:J13)=0,"",SUM(E13:J13))</f>
        <v/>
      </c>
      <c r="L13" s="12"/>
      <c r="M13" s="12"/>
      <c r="N13" s="16" t="str">
        <f aca="false">IF(L13="","",L13-$E$8+N(M13))</f>
        <v/>
      </c>
      <c r="O13" s="14"/>
    </row>
    <row r="14" customFormat="false" ht="19.5" hidden="false" customHeight="true" outlineLevel="0" collapsed="false">
      <c r="A14" s="11" t="n">
        <v>0.291666666666667</v>
      </c>
      <c r="B14" s="12"/>
      <c r="C14" s="12"/>
      <c r="D14" s="13" t="str">
        <f aca="false">IF(COUNT(B14:C14)=0,"",SUM(B14:C14))</f>
        <v/>
      </c>
      <c r="E14" s="12"/>
      <c r="F14" s="12"/>
      <c r="G14" s="12"/>
      <c r="H14" s="12"/>
      <c r="I14" s="12"/>
      <c r="J14" s="12"/>
      <c r="K14" s="13" t="str">
        <f aca="false">IF(COUNT(E14:J14)=0,"",SUM(E14:J14))</f>
        <v/>
      </c>
      <c r="L14" s="12"/>
      <c r="M14" s="12"/>
      <c r="N14" s="13" t="str">
        <f aca="false">IF(L14="","",L14-$E$8+N(M14))</f>
        <v/>
      </c>
      <c r="O14" s="14"/>
    </row>
    <row r="15" customFormat="false" ht="19.5" hidden="false" customHeight="true" outlineLevel="0" collapsed="false">
      <c r="A15" s="15" t="n">
        <v>0.3125</v>
      </c>
      <c r="B15" s="12"/>
      <c r="C15" s="12"/>
      <c r="D15" s="16" t="str">
        <f aca="false">IF(COUNT(B15:C15)=0,"",SUM(B15:C15))</f>
        <v/>
      </c>
      <c r="E15" s="12"/>
      <c r="F15" s="12"/>
      <c r="G15" s="12"/>
      <c r="H15" s="12"/>
      <c r="I15" s="12"/>
      <c r="J15" s="12"/>
      <c r="K15" s="16" t="str">
        <f aca="false">IF(COUNT(E15:J15)=0,"",SUM(E15:J15))</f>
        <v/>
      </c>
      <c r="L15" s="12"/>
      <c r="M15" s="12"/>
      <c r="N15" s="16" t="str">
        <f aca="false">IF(L15="","",L15-$E$8+N(M15))</f>
        <v/>
      </c>
      <c r="O15" s="14"/>
    </row>
    <row r="16" customFormat="false" ht="19.5" hidden="false" customHeight="true" outlineLevel="0" collapsed="false">
      <c r="A16" s="11" t="n">
        <v>0.333333333333333</v>
      </c>
      <c r="B16" s="12"/>
      <c r="C16" s="12"/>
      <c r="D16" s="13" t="str">
        <f aca="false">IF(COUNT(B16:C16)=0,"",SUM(B16:C16))</f>
        <v/>
      </c>
      <c r="E16" s="12"/>
      <c r="F16" s="12"/>
      <c r="G16" s="12"/>
      <c r="H16" s="12"/>
      <c r="I16" s="12"/>
      <c r="J16" s="12"/>
      <c r="K16" s="13" t="str">
        <f aca="false">IF(COUNT(E16:J16)=0,"",SUM(E16:J16))</f>
        <v/>
      </c>
      <c r="L16" s="12"/>
      <c r="M16" s="12"/>
      <c r="N16" s="13" t="str">
        <f aca="false">IF(L16="","",L16-$E$8+N(M16))</f>
        <v/>
      </c>
      <c r="O16" s="14"/>
    </row>
    <row r="17" customFormat="false" ht="19.5" hidden="false" customHeight="true" outlineLevel="0" collapsed="false">
      <c r="A17" s="15" t="n">
        <v>0.354166666666667</v>
      </c>
      <c r="B17" s="12"/>
      <c r="C17" s="12"/>
      <c r="D17" s="16" t="str">
        <f aca="false">IF(COUNT(B17:C17)=0,"",SUM(B17:C17))</f>
        <v/>
      </c>
      <c r="E17" s="12"/>
      <c r="F17" s="12"/>
      <c r="G17" s="12"/>
      <c r="H17" s="12"/>
      <c r="I17" s="12"/>
      <c r="J17" s="12"/>
      <c r="K17" s="16" t="str">
        <f aca="false">IF(COUNT(E17:J17)=0,"",SUM(E17:J17))</f>
        <v/>
      </c>
      <c r="L17" s="12"/>
      <c r="M17" s="12"/>
      <c r="N17" s="16" t="str">
        <f aca="false">IF(L17="","",L17-$E$8+N(M17))</f>
        <v/>
      </c>
      <c r="O17" s="14"/>
    </row>
    <row r="18" customFormat="false" ht="19.5" hidden="false" customHeight="true" outlineLevel="0" collapsed="false">
      <c r="A18" s="11" t="n">
        <v>0.375</v>
      </c>
      <c r="B18" s="12"/>
      <c r="C18" s="12"/>
      <c r="D18" s="13" t="str">
        <f aca="false">IF(COUNT(B18:C18)=0,"",SUM(B18:C18))</f>
        <v/>
      </c>
      <c r="E18" s="12"/>
      <c r="F18" s="12"/>
      <c r="G18" s="12"/>
      <c r="H18" s="12"/>
      <c r="I18" s="12"/>
      <c r="J18" s="12"/>
      <c r="K18" s="13" t="str">
        <f aca="false">IF(COUNT(E18:J18)=0,"",SUM(E18:J18))</f>
        <v/>
      </c>
      <c r="L18" s="12"/>
      <c r="M18" s="12"/>
      <c r="N18" s="13" t="str">
        <f aca="false">IF(L18="","",L18-$E$8+N(M18))</f>
        <v/>
      </c>
      <c r="O18" s="14"/>
    </row>
    <row r="19" customFormat="false" ht="19.5" hidden="false" customHeight="true" outlineLevel="0" collapsed="false">
      <c r="A19" s="15" t="n">
        <v>0.395833333333333</v>
      </c>
      <c r="B19" s="12"/>
      <c r="C19" s="12"/>
      <c r="D19" s="16" t="str">
        <f aca="false">IF(COUNT(B19:C19)=0,"",SUM(B19:C19))</f>
        <v/>
      </c>
      <c r="E19" s="12"/>
      <c r="F19" s="12"/>
      <c r="G19" s="12"/>
      <c r="H19" s="12"/>
      <c r="I19" s="12"/>
      <c r="J19" s="12"/>
      <c r="K19" s="16" t="str">
        <f aca="false">IF(COUNT(E19:J19)=0,"",SUM(E19:J19))</f>
        <v/>
      </c>
      <c r="L19" s="12"/>
      <c r="M19" s="12"/>
      <c r="N19" s="16" t="str">
        <f aca="false">IF(L19="","",L19-$E$8+N(M19))</f>
        <v/>
      </c>
      <c r="O19" s="14"/>
    </row>
    <row r="20" customFormat="false" ht="19.5" hidden="false" customHeight="true" outlineLevel="0" collapsed="false">
      <c r="A20" s="11" t="n">
        <v>0.416666666666667</v>
      </c>
      <c r="B20" s="12"/>
      <c r="C20" s="12"/>
      <c r="D20" s="13" t="str">
        <f aca="false">IF(COUNT(B20:C20)=0,"",SUM(B20:C20))</f>
        <v/>
      </c>
      <c r="E20" s="12"/>
      <c r="F20" s="12"/>
      <c r="G20" s="12"/>
      <c r="H20" s="12"/>
      <c r="I20" s="12"/>
      <c r="J20" s="12"/>
      <c r="K20" s="13" t="str">
        <f aca="false">IF(COUNT(E20:J20)=0,"",SUM(E20:J20))</f>
        <v/>
      </c>
      <c r="L20" s="12"/>
      <c r="M20" s="12"/>
      <c r="N20" s="13" t="str">
        <f aca="false">IF(L20="","",L20-$E$8+N(M20))</f>
        <v/>
      </c>
      <c r="O20" s="14"/>
    </row>
    <row r="21" customFormat="false" ht="19.5" hidden="false" customHeight="true" outlineLevel="0" collapsed="false">
      <c r="A21" s="15" t="n">
        <v>0.4375</v>
      </c>
      <c r="B21" s="12"/>
      <c r="C21" s="12"/>
      <c r="D21" s="16" t="str">
        <f aca="false">IF(COUNT(B21:C21)=0,"",SUM(B21:C21))</f>
        <v/>
      </c>
      <c r="E21" s="12"/>
      <c r="F21" s="12"/>
      <c r="G21" s="12"/>
      <c r="H21" s="12"/>
      <c r="I21" s="12"/>
      <c r="J21" s="12"/>
      <c r="K21" s="16" t="str">
        <f aca="false">IF(COUNT(E21:J21)=0,"",SUM(E21:J21))</f>
        <v/>
      </c>
      <c r="L21" s="12"/>
      <c r="M21" s="12"/>
      <c r="N21" s="16" t="str">
        <f aca="false">IF(L21="","",L21-$E$8+N(M21))</f>
        <v/>
      </c>
      <c r="O21" s="14"/>
    </row>
    <row r="22" customFormat="false" ht="19.5" hidden="false" customHeight="true" outlineLevel="0" collapsed="false">
      <c r="A22" s="11" t="n">
        <v>0.458333333333333</v>
      </c>
      <c r="B22" s="12"/>
      <c r="C22" s="12"/>
      <c r="D22" s="13" t="str">
        <f aca="false">IF(COUNT(B22:C22)=0,"",SUM(B22:C22))</f>
        <v/>
      </c>
      <c r="E22" s="12"/>
      <c r="F22" s="12"/>
      <c r="G22" s="12"/>
      <c r="H22" s="12"/>
      <c r="I22" s="12"/>
      <c r="J22" s="12"/>
      <c r="K22" s="13" t="str">
        <f aca="false">IF(COUNT(E22:J22)=0,"",SUM(E22:J22))</f>
        <v/>
      </c>
      <c r="L22" s="12"/>
      <c r="M22" s="12"/>
      <c r="N22" s="13" t="str">
        <f aca="false">IF(L22="","",L22-$E$8+N(M22))</f>
        <v/>
      </c>
      <c r="O22" s="14"/>
    </row>
    <row r="23" customFormat="false" ht="19.5" hidden="false" customHeight="true" outlineLevel="0" collapsed="false">
      <c r="A23" s="15" t="n">
        <v>0.479166666666667</v>
      </c>
      <c r="B23" s="12"/>
      <c r="C23" s="12"/>
      <c r="D23" s="16" t="str">
        <f aca="false">IF(COUNT(B23:C23)=0,"",SUM(B23:C23))</f>
        <v/>
      </c>
      <c r="E23" s="12"/>
      <c r="F23" s="12"/>
      <c r="G23" s="12"/>
      <c r="H23" s="12"/>
      <c r="I23" s="12"/>
      <c r="J23" s="12"/>
      <c r="K23" s="16" t="str">
        <f aca="false">IF(COUNT(E23:J23)=0,"",SUM(E23:J23))</f>
        <v/>
      </c>
      <c r="L23" s="12"/>
      <c r="M23" s="12"/>
      <c r="N23" s="16" t="str">
        <f aca="false">IF(L23="","",L23-$E$8+N(M23))</f>
        <v/>
      </c>
      <c r="O23" s="14"/>
    </row>
    <row r="24" customFormat="false" ht="19.5" hidden="false" customHeight="true" outlineLevel="0" collapsed="false">
      <c r="A24" s="11" t="n">
        <v>0.5</v>
      </c>
      <c r="B24" s="12"/>
      <c r="C24" s="12"/>
      <c r="D24" s="13" t="str">
        <f aca="false">IF(COUNT(B24:C24)=0,"",SUM(B24:C24))</f>
        <v/>
      </c>
      <c r="E24" s="12"/>
      <c r="F24" s="12"/>
      <c r="G24" s="12"/>
      <c r="H24" s="12"/>
      <c r="I24" s="12"/>
      <c r="J24" s="12"/>
      <c r="K24" s="13" t="str">
        <f aca="false">IF(COUNT(E24:J24)=0,"",SUM(E24:J24))</f>
        <v/>
      </c>
      <c r="L24" s="12"/>
      <c r="M24" s="12"/>
      <c r="N24" s="13" t="str">
        <f aca="false">IF(L24="","",L24-$E$8+N(M24))</f>
        <v/>
      </c>
      <c r="O24" s="14"/>
    </row>
    <row r="25" customFormat="false" ht="19.5" hidden="false" customHeight="true" outlineLevel="0" collapsed="false">
      <c r="A25" s="15" t="n">
        <v>0.520833333333333</v>
      </c>
      <c r="B25" s="12"/>
      <c r="C25" s="12"/>
      <c r="D25" s="16" t="str">
        <f aca="false">IF(COUNT(B25:C25)=0,"",SUM(B25:C25))</f>
        <v/>
      </c>
      <c r="E25" s="12"/>
      <c r="F25" s="12"/>
      <c r="G25" s="12"/>
      <c r="H25" s="12"/>
      <c r="I25" s="12"/>
      <c r="J25" s="12"/>
      <c r="K25" s="16" t="str">
        <f aca="false">IF(COUNT(E25:J25)=0,"",SUM(E25:J25))</f>
        <v/>
      </c>
      <c r="L25" s="12"/>
      <c r="M25" s="12"/>
      <c r="N25" s="16" t="str">
        <f aca="false">IF(L25="","",L25-$E$8+N(M25))</f>
        <v/>
      </c>
      <c r="O25" s="14"/>
    </row>
    <row r="26" customFormat="false" ht="19.5" hidden="false" customHeight="true" outlineLevel="0" collapsed="false">
      <c r="A26" s="11" t="n">
        <v>0.541666666666667</v>
      </c>
      <c r="B26" s="12"/>
      <c r="C26" s="12"/>
      <c r="D26" s="13" t="str">
        <f aca="false">IF(COUNT(B26:C26)=0,"",SUM(B26:C26))</f>
        <v/>
      </c>
      <c r="E26" s="12"/>
      <c r="F26" s="12"/>
      <c r="G26" s="12"/>
      <c r="H26" s="12"/>
      <c r="I26" s="12"/>
      <c r="J26" s="12"/>
      <c r="K26" s="13" t="str">
        <f aca="false">IF(COUNT(E26:J26)=0,"",SUM(E26:J26))</f>
        <v/>
      </c>
      <c r="L26" s="12"/>
      <c r="M26" s="12"/>
      <c r="N26" s="13" t="str">
        <f aca="false">IF(L26="","",L26-$E$8+N(M26))</f>
        <v/>
      </c>
      <c r="O26" s="14"/>
    </row>
    <row r="27" customFormat="false" ht="19.5" hidden="false" customHeight="true" outlineLevel="0" collapsed="false">
      <c r="A27" s="15" t="n">
        <v>0.5625</v>
      </c>
      <c r="B27" s="12"/>
      <c r="C27" s="12"/>
      <c r="D27" s="16" t="str">
        <f aca="false">IF(COUNT(B27:C27)=0,"",SUM(B27:C27))</f>
        <v/>
      </c>
      <c r="E27" s="12"/>
      <c r="F27" s="12"/>
      <c r="G27" s="12"/>
      <c r="H27" s="12"/>
      <c r="I27" s="12"/>
      <c r="J27" s="12"/>
      <c r="K27" s="16" t="str">
        <f aca="false">IF(COUNT(E27:J27)=0,"",SUM(E27:J27))</f>
        <v/>
      </c>
      <c r="L27" s="12"/>
      <c r="M27" s="12"/>
      <c r="N27" s="16" t="str">
        <f aca="false">IF(L27="","",L27-$E$8+N(M27))</f>
        <v/>
      </c>
      <c r="O27" s="14"/>
    </row>
    <row r="28" customFormat="false" ht="19.5" hidden="false" customHeight="true" outlineLevel="0" collapsed="false">
      <c r="A28" s="11" t="n">
        <v>0.583333333333333</v>
      </c>
      <c r="B28" s="12"/>
      <c r="C28" s="12"/>
      <c r="D28" s="13" t="str">
        <f aca="false">IF(COUNT(B28:C28)=0,"",SUM(B28:C28))</f>
        <v/>
      </c>
      <c r="E28" s="12"/>
      <c r="F28" s="12"/>
      <c r="G28" s="12"/>
      <c r="H28" s="12"/>
      <c r="I28" s="12"/>
      <c r="J28" s="12"/>
      <c r="K28" s="13" t="str">
        <f aca="false">IF(COUNT(E28:J28)=0,"",SUM(E28:J28))</f>
        <v/>
      </c>
      <c r="L28" s="12"/>
      <c r="M28" s="12"/>
      <c r="N28" s="13" t="str">
        <f aca="false">IF(L28="","",L28-$E$8+N(M28))</f>
        <v/>
      </c>
      <c r="O28" s="14"/>
    </row>
    <row r="29" customFormat="false" ht="19.5" hidden="false" customHeight="true" outlineLevel="0" collapsed="false">
      <c r="A29" s="15" t="n">
        <v>0.604166666666667</v>
      </c>
      <c r="B29" s="12"/>
      <c r="C29" s="12"/>
      <c r="D29" s="16" t="str">
        <f aca="false">IF(COUNT(B29:C29)=0,"",SUM(B29:C29))</f>
        <v/>
      </c>
      <c r="E29" s="12"/>
      <c r="F29" s="12"/>
      <c r="G29" s="12"/>
      <c r="H29" s="12"/>
      <c r="I29" s="12"/>
      <c r="J29" s="12"/>
      <c r="K29" s="16" t="str">
        <f aca="false">IF(COUNT(E29:J29)=0,"",SUM(E29:J29))</f>
        <v/>
      </c>
      <c r="L29" s="12"/>
      <c r="M29" s="12"/>
      <c r="N29" s="16" t="str">
        <f aca="false">IF(L29="","",L29-$E$8+N(M29))</f>
        <v/>
      </c>
      <c r="O29" s="14"/>
    </row>
    <row r="30" customFormat="false" ht="19.5" hidden="false" customHeight="true" outlineLevel="0" collapsed="false">
      <c r="A30" s="11" t="n">
        <v>0.625</v>
      </c>
      <c r="B30" s="12"/>
      <c r="C30" s="12"/>
      <c r="D30" s="13" t="str">
        <f aca="false">IF(COUNT(B30:C30)=0,"",SUM(B30:C30))</f>
        <v/>
      </c>
      <c r="E30" s="12"/>
      <c r="F30" s="12"/>
      <c r="G30" s="12"/>
      <c r="H30" s="12"/>
      <c r="I30" s="12"/>
      <c r="J30" s="12"/>
      <c r="K30" s="13" t="str">
        <f aca="false">IF(COUNT(E30:J30)=0,"",SUM(E30:J30))</f>
        <v/>
      </c>
      <c r="L30" s="12"/>
      <c r="M30" s="12"/>
      <c r="N30" s="13" t="str">
        <f aca="false">IF(L30="","",L30-$E$8+N(M30))</f>
        <v/>
      </c>
      <c r="O30" s="14"/>
    </row>
    <row r="31" customFormat="false" ht="19.5" hidden="false" customHeight="true" outlineLevel="0" collapsed="false">
      <c r="A31" s="15" t="n">
        <v>0.645833333333333</v>
      </c>
      <c r="B31" s="12"/>
      <c r="C31" s="12"/>
      <c r="D31" s="16" t="str">
        <f aca="false">IF(COUNT(B31:C31)=0,"",SUM(B31:C31))</f>
        <v/>
      </c>
      <c r="E31" s="12"/>
      <c r="F31" s="12"/>
      <c r="G31" s="12"/>
      <c r="H31" s="12"/>
      <c r="I31" s="12"/>
      <c r="J31" s="12"/>
      <c r="K31" s="16" t="str">
        <f aca="false">IF(COUNT(E31:J31)=0,"",SUM(E31:J31))</f>
        <v/>
      </c>
      <c r="L31" s="12"/>
      <c r="M31" s="12"/>
      <c r="N31" s="16" t="str">
        <f aca="false">IF(L31="","",L31-$E$8+N(M31))</f>
        <v/>
      </c>
      <c r="O31" s="14"/>
    </row>
    <row r="32" customFormat="false" ht="19.5" hidden="false" customHeight="true" outlineLevel="0" collapsed="false">
      <c r="A32" s="11" t="n">
        <v>0.666666666666667</v>
      </c>
      <c r="B32" s="12"/>
      <c r="C32" s="12"/>
      <c r="D32" s="13" t="str">
        <f aca="false">IF(COUNT(B32:C32)=0,"",SUM(B32:C32))</f>
        <v/>
      </c>
      <c r="E32" s="12"/>
      <c r="F32" s="12"/>
      <c r="G32" s="12"/>
      <c r="H32" s="12"/>
      <c r="I32" s="12"/>
      <c r="J32" s="12"/>
      <c r="K32" s="13" t="str">
        <f aca="false">IF(COUNT(E32:J32)=0,"",SUM(E32:J32))</f>
        <v/>
      </c>
      <c r="L32" s="12"/>
      <c r="M32" s="12"/>
      <c r="N32" s="13" t="str">
        <f aca="false">IF(L32="","",L32-$E$8+N(M32))</f>
        <v/>
      </c>
      <c r="O32" s="14"/>
    </row>
    <row r="33" customFormat="false" ht="19.5" hidden="false" customHeight="true" outlineLevel="0" collapsed="false">
      <c r="A33" s="15" t="n">
        <v>0.6875</v>
      </c>
      <c r="B33" s="12"/>
      <c r="C33" s="12"/>
      <c r="D33" s="16" t="str">
        <f aca="false">IF(COUNT(B33:C33)=0,"",SUM(B33:C33))</f>
        <v/>
      </c>
      <c r="E33" s="12"/>
      <c r="F33" s="12"/>
      <c r="G33" s="12"/>
      <c r="H33" s="12"/>
      <c r="I33" s="12"/>
      <c r="J33" s="12"/>
      <c r="K33" s="16" t="str">
        <f aca="false">IF(COUNT(E33:J33)=0,"",SUM(E33:J33))</f>
        <v/>
      </c>
      <c r="L33" s="12"/>
      <c r="M33" s="12"/>
      <c r="N33" s="16" t="str">
        <f aca="false">IF(L33="","",L33-$E$8+N(M33))</f>
        <v/>
      </c>
      <c r="O33" s="14"/>
    </row>
    <row r="34" customFormat="false" ht="19.5" hidden="false" customHeight="true" outlineLevel="0" collapsed="false">
      <c r="A34" s="11" t="n">
        <v>0.708333333333333</v>
      </c>
      <c r="B34" s="12"/>
      <c r="C34" s="12"/>
      <c r="D34" s="13" t="str">
        <f aca="false">IF(COUNT(B34:C34)=0,"",SUM(B34:C34))</f>
        <v/>
      </c>
      <c r="E34" s="12"/>
      <c r="F34" s="12"/>
      <c r="G34" s="12"/>
      <c r="H34" s="12"/>
      <c r="I34" s="12"/>
      <c r="J34" s="12"/>
      <c r="K34" s="13" t="str">
        <f aca="false">IF(COUNT(E34:J34)=0,"",SUM(E34:J34))</f>
        <v/>
      </c>
      <c r="L34" s="12"/>
      <c r="M34" s="12"/>
      <c r="N34" s="13" t="str">
        <f aca="false">IF(L34="","",L34-$E$8+N(M34))</f>
        <v/>
      </c>
      <c r="O34" s="14"/>
    </row>
    <row r="35" customFormat="false" ht="19.5" hidden="false" customHeight="true" outlineLevel="0" collapsed="false">
      <c r="A35" s="15" t="n">
        <v>0.729166666666667</v>
      </c>
      <c r="B35" s="12"/>
      <c r="C35" s="12"/>
      <c r="D35" s="16" t="str">
        <f aca="false">IF(COUNT(B35:C35)=0,"",SUM(B35:C35))</f>
        <v/>
      </c>
      <c r="E35" s="12"/>
      <c r="F35" s="12"/>
      <c r="G35" s="12"/>
      <c r="H35" s="12"/>
      <c r="I35" s="12"/>
      <c r="J35" s="12"/>
      <c r="K35" s="16" t="str">
        <f aca="false">IF(COUNT(E35:J35)=0,"",SUM(E35:J35))</f>
        <v/>
      </c>
      <c r="L35" s="12"/>
      <c r="M35" s="12"/>
      <c r="N35" s="16" t="str">
        <f aca="false">IF(L35="","",L35-$E$8+N(M35))</f>
        <v/>
      </c>
      <c r="O35" s="14"/>
    </row>
    <row r="36" customFormat="false" ht="19.5" hidden="false" customHeight="true" outlineLevel="0" collapsed="false">
      <c r="A36" s="11" t="n">
        <v>0.75</v>
      </c>
      <c r="B36" s="12"/>
      <c r="C36" s="12"/>
      <c r="D36" s="13" t="str">
        <f aca="false">IF(COUNT(B36:C36)=0,"",SUM(B36:C36))</f>
        <v/>
      </c>
      <c r="E36" s="12"/>
      <c r="F36" s="12"/>
      <c r="G36" s="12"/>
      <c r="H36" s="12"/>
      <c r="I36" s="12"/>
      <c r="J36" s="12"/>
      <c r="K36" s="13" t="str">
        <f aca="false">IF(COUNT(E36:J36)=0,"",SUM(E36:J36))</f>
        <v/>
      </c>
      <c r="L36" s="12"/>
      <c r="M36" s="12"/>
      <c r="N36" s="13" t="str">
        <f aca="false">IF(L36="","",L36-$E$8+N(M36))</f>
        <v/>
      </c>
      <c r="O36" s="14"/>
    </row>
    <row r="37" customFormat="false" ht="19.5" hidden="false" customHeight="true" outlineLevel="0" collapsed="false">
      <c r="A37" s="15" t="n">
        <v>0.770833333333333</v>
      </c>
      <c r="B37" s="12"/>
      <c r="C37" s="12"/>
      <c r="D37" s="16" t="str">
        <f aca="false">IF(COUNT(B37:C37)=0,"",SUM(B37:C37))</f>
        <v/>
      </c>
      <c r="E37" s="12"/>
      <c r="F37" s="12"/>
      <c r="G37" s="12"/>
      <c r="H37" s="12"/>
      <c r="I37" s="12"/>
      <c r="J37" s="12"/>
      <c r="K37" s="16" t="str">
        <f aca="false">IF(COUNT(E37:J37)=0,"",SUM(E37:J37))</f>
        <v/>
      </c>
      <c r="L37" s="12"/>
      <c r="M37" s="12"/>
      <c r="N37" s="16" t="str">
        <f aca="false">IF(L37="","",L37-$E$8+N(M37))</f>
        <v/>
      </c>
      <c r="O37" s="14"/>
    </row>
    <row r="38" customFormat="false" ht="19.5" hidden="false" customHeight="true" outlineLevel="0" collapsed="false">
      <c r="A38" s="11" t="n">
        <v>0.791666666666667</v>
      </c>
      <c r="B38" s="12"/>
      <c r="C38" s="12"/>
      <c r="D38" s="13" t="str">
        <f aca="false">IF(COUNT(B38:C38)=0,"",SUM(B38:C38))</f>
        <v/>
      </c>
      <c r="E38" s="12"/>
      <c r="F38" s="12"/>
      <c r="G38" s="12"/>
      <c r="H38" s="12"/>
      <c r="I38" s="12"/>
      <c r="J38" s="12"/>
      <c r="K38" s="13" t="str">
        <f aca="false">IF(COUNT(E38:J38)=0,"",SUM(E38:J38))</f>
        <v/>
      </c>
      <c r="L38" s="12"/>
      <c r="M38" s="12"/>
      <c r="N38" s="13" t="str">
        <f aca="false">IF(L38="","",L38-$E$8+N(M38))</f>
        <v/>
      </c>
      <c r="O38" s="14"/>
    </row>
    <row r="39" customFormat="false" ht="19.5" hidden="false" customHeight="true" outlineLevel="0" collapsed="false">
      <c r="A39" s="15" t="n">
        <v>0.8125</v>
      </c>
      <c r="B39" s="12"/>
      <c r="C39" s="12"/>
      <c r="D39" s="16" t="str">
        <f aca="false">IF(COUNT(B39:C39)=0,"",SUM(B39:C39))</f>
        <v/>
      </c>
      <c r="E39" s="12"/>
      <c r="F39" s="12"/>
      <c r="G39" s="12"/>
      <c r="H39" s="12"/>
      <c r="I39" s="12"/>
      <c r="J39" s="12"/>
      <c r="K39" s="16" t="str">
        <f aca="false">IF(COUNT(E39:J39)=0,"",SUM(E39:J39))</f>
        <v/>
      </c>
      <c r="L39" s="12"/>
      <c r="M39" s="12"/>
      <c r="N39" s="16" t="str">
        <f aca="false">IF(L39="","",L39-$E$8+N(M39))</f>
        <v/>
      </c>
      <c r="O39" s="14"/>
    </row>
    <row r="40" customFormat="false" ht="19.5" hidden="false" customHeight="true" outlineLevel="0" collapsed="false">
      <c r="A40" s="11" t="n">
        <v>0.833333333333333</v>
      </c>
      <c r="B40" s="12"/>
      <c r="C40" s="12"/>
      <c r="D40" s="13" t="str">
        <f aca="false">IF(COUNT(B40:C40)=0,"",SUM(B40:C40))</f>
        <v/>
      </c>
      <c r="E40" s="12"/>
      <c r="F40" s="12"/>
      <c r="G40" s="12"/>
      <c r="H40" s="12"/>
      <c r="I40" s="12"/>
      <c r="J40" s="12"/>
      <c r="K40" s="13" t="str">
        <f aca="false">IF(COUNT(E40:J40)=0,"",SUM(E40:J40))</f>
        <v/>
      </c>
      <c r="L40" s="12"/>
      <c r="M40" s="12"/>
      <c r="N40" s="13" t="str">
        <f aca="false">IF(L40="","",L40-$E$8+N(M40))</f>
        <v/>
      </c>
      <c r="O40" s="14"/>
    </row>
    <row r="41" customFormat="false" ht="21.75" hidden="false" customHeight="true" outlineLevel="0" collapsed="false">
      <c r="A41" s="17" t="s">
        <v>26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customFormat="false" ht="15" hidden="false" customHeight="false" outlineLevel="0" collapsed="false">
      <c r="A42" s="5" t="s">
        <v>27</v>
      </c>
    </row>
    <row r="43" customFormat="false" ht="27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19"/>
      <c r="O43" s="19"/>
    </row>
    <row r="44" customFormat="false" ht="15" hidden="false" customHeight="false" outlineLevel="0" collapsed="false">
      <c r="A44" s="20" t="s">
        <v>28</v>
      </c>
      <c r="B44" s="20"/>
      <c r="C44" s="20"/>
      <c r="D44" s="20"/>
      <c r="E44" s="20"/>
      <c r="F44" s="20"/>
      <c r="G44" s="20" t="s">
        <v>29</v>
      </c>
      <c r="H44" s="20"/>
      <c r="I44" s="20"/>
      <c r="J44" s="20"/>
      <c r="K44" s="20"/>
      <c r="L44" s="20"/>
      <c r="M44" s="20" t="s">
        <v>30</v>
      </c>
      <c r="N44" s="20"/>
      <c r="O44" s="20"/>
    </row>
  </sheetData>
  <mergeCells count="19">
    <mergeCell ref="A1:O1"/>
    <mergeCell ref="A2:O2"/>
    <mergeCell ref="A3:O3"/>
    <mergeCell ref="A4:O4"/>
    <mergeCell ref="C6:H6"/>
    <mergeCell ref="K6:O6"/>
    <mergeCell ref="C7:H7"/>
    <mergeCell ref="K7:O7"/>
    <mergeCell ref="E8:F8"/>
    <mergeCell ref="B10:D10"/>
    <mergeCell ref="E10:K10"/>
    <mergeCell ref="L10:N10"/>
    <mergeCell ref="A41:O41"/>
    <mergeCell ref="A43:F43"/>
    <mergeCell ref="G43:L43"/>
    <mergeCell ref="M43:O43"/>
    <mergeCell ref="A44:F44"/>
    <mergeCell ref="G44:L44"/>
    <mergeCell ref="M44:O44"/>
  </mergeCells>
  <dataValidations count="1">
    <dataValidation allowBlank="true" error="Enter a whole number of 0 or more." errorStyle="stop" errorTitle="Invalid count" operator="greaterThanOrEqual" showDropDown="false" showErrorMessage="false" showInputMessage="false" sqref="E8 B12:C40 E12:J40 L12:L40" type="whole">
      <formula1>0</formula1>
      <formula2>0</formula2>
    </dataValidation>
  </dataValidations>
  <printOptions headings="false" gridLines="false" gridLinesSet="true" horizontalCentered="true" verticalCentered="false"/>
  <pageMargins left="0.4" right="0.4" top="0.4" bottom="0.6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&amp;L&amp;"Arial,Regular"&amp;8 City of Torrington – Voting Poll Ballot Count&amp;R&amp;"Arial,Regular"&amp;9 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7"/>
    <col collapsed="false" customWidth="true" hidden="false" outlineLevel="0" max="4" min="4" style="0" width="9"/>
    <col collapsed="false" customWidth="true" hidden="false" outlineLevel="0" max="10" min="5" style="0" width="6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4" min="14" style="0" width="10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5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customFormat="false" ht="15" hidden="false" customHeight="false" outlineLevel="0" collapsed="false">
      <c r="A6" s="5" t="s">
        <v>3</v>
      </c>
      <c r="C6" s="6" t="s">
        <v>31</v>
      </c>
      <c r="D6" s="6"/>
      <c r="E6" s="6"/>
      <c r="F6" s="6"/>
      <c r="G6" s="6"/>
      <c r="H6" s="6"/>
      <c r="I6" s="5" t="s">
        <v>4</v>
      </c>
      <c r="K6" s="6" t="s">
        <v>32</v>
      </c>
      <c r="L6" s="6"/>
      <c r="M6" s="6"/>
      <c r="N6" s="6"/>
      <c r="O6" s="6"/>
    </row>
    <row r="7" customFormat="false" ht="15" hidden="false" customHeight="false" outlineLevel="0" collapsed="false">
      <c r="A7" s="5" t="s">
        <v>5</v>
      </c>
      <c r="C7" s="6" t="s">
        <v>33</v>
      </c>
      <c r="D7" s="6"/>
      <c r="E7" s="6"/>
      <c r="F7" s="6"/>
      <c r="G7" s="6"/>
      <c r="H7" s="6"/>
      <c r="I7" s="5" t="s">
        <v>6</v>
      </c>
      <c r="K7" s="7"/>
      <c r="L7" s="7"/>
      <c r="M7" s="7"/>
      <c r="N7" s="7"/>
      <c r="O7" s="7"/>
    </row>
    <row r="8" customFormat="false" ht="15" hidden="false" customHeight="false" outlineLevel="0" collapsed="false">
      <c r="A8" s="5" t="s">
        <v>7</v>
      </c>
      <c r="E8" s="8" t="n">
        <v>2462</v>
      </c>
      <c r="F8" s="8"/>
    </row>
    <row r="10" customFormat="false" ht="15" hidden="false" customHeight="true" outlineLevel="0" collapsed="false">
      <c r="A10" s="9"/>
      <c r="B10" s="9" t="s">
        <v>8</v>
      </c>
      <c r="C10" s="9"/>
      <c r="D10" s="9"/>
      <c r="E10" s="9" t="s">
        <v>9</v>
      </c>
      <c r="F10" s="9"/>
      <c r="G10" s="9"/>
      <c r="H10" s="9"/>
      <c r="I10" s="9"/>
      <c r="J10" s="9"/>
      <c r="K10" s="9"/>
      <c r="L10" s="9" t="s">
        <v>10</v>
      </c>
      <c r="M10" s="9"/>
      <c r="N10" s="9"/>
      <c r="O10" s="9"/>
    </row>
    <row r="11" customFormat="false" ht="27.75" hidden="false" customHeight="true" outlineLevel="0" collapsed="false">
      <c r="A11" s="10" t="s">
        <v>11</v>
      </c>
      <c r="B11" s="10" t="s">
        <v>12</v>
      </c>
      <c r="C11" s="10" t="s">
        <v>13</v>
      </c>
      <c r="D11" s="10" t="s">
        <v>14</v>
      </c>
      <c r="E11" s="10" t="s">
        <v>15</v>
      </c>
      <c r="F11" s="10" t="s">
        <v>16</v>
      </c>
      <c r="G11" s="10" t="s">
        <v>17</v>
      </c>
      <c r="H11" s="10" t="s">
        <v>18</v>
      </c>
      <c r="I11" s="10" t="s">
        <v>19</v>
      </c>
      <c r="J11" s="10" t="s">
        <v>20</v>
      </c>
      <c r="K11" s="10" t="s">
        <v>21</v>
      </c>
      <c r="L11" s="10" t="s">
        <v>22</v>
      </c>
      <c r="M11" s="10" t="s">
        <v>23</v>
      </c>
      <c r="N11" s="10" t="s">
        <v>24</v>
      </c>
      <c r="O11" s="10" t="s">
        <v>25</v>
      </c>
    </row>
    <row r="12" customFormat="false" ht="19.5" hidden="false" customHeight="true" outlineLevel="0" collapsed="false">
      <c r="A12" s="11" t="n">
        <v>0.25</v>
      </c>
      <c r="B12" s="12"/>
      <c r="C12" s="12"/>
      <c r="D12" s="13" t="str">
        <f aca="false">IF(COUNT(B12:C12)=0,"",SUM(B12:C12))</f>
        <v/>
      </c>
      <c r="E12" s="12"/>
      <c r="F12" s="12"/>
      <c r="G12" s="12"/>
      <c r="H12" s="12"/>
      <c r="I12" s="12"/>
      <c r="J12" s="12"/>
      <c r="K12" s="13" t="str">
        <f aca="false">IF(COUNT(E12:J12)=0,"",SUM(E12:J12))</f>
        <v/>
      </c>
      <c r="L12" s="12"/>
      <c r="M12" s="12"/>
      <c r="N12" s="13" t="str">
        <f aca="false">IF(L12="","",L12-$E$8+N(M12))</f>
        <v/>
      </c>
      <c r="O12" s="14"/>
    </row>
    <row r="13" customFormat="false" ht="19.5" hidden="false" customHeight="true" outlineLevel="0" collapsed="false">
      <c r="A13" s="15" t="n">
        <v>0.270833333333333</v>
      </c>
      <c r="B13" s="12"/>
      <c r="C13" s="12"/>
      <c r="D13" s="16" t="str">
        <f aca="false">IF(COUNT(B13:C13)=0,"",SUM(B13:C13))</f>
        <v/>
      </c>
      <c r="E13" s="12"/>
      <c r="F13" s="12"/>
      <c r="G13" s="12"/>
      <c r="H13" s="12"/>
      <c r="I13" s="12"/>
      <c r="J13" s="12"/>
      <c r="K13" s="16" t="str">
        <f aca="false">IF(COUNT(E13:J13)=0,"",SUM(E13:J13))</f>
        <v/>
      </c>
      <c r="L13" s="12"/>
      <c r="M13" s="12"/>
      <c r="N13" s="16" t="str">
        <f aca="false">IF(L13="","",L13-$E$8+N(M13))</f>
        <v/>
      </c>
      <c r="O13" s="14"/>
    </row>
    <row r="14" customFormat="false" ht="19.5" hidden="false" customHeight="true" outlineLevel="0" collapsed="false">
      <c r="A14" s="11" t="n">
        <v>0.291666666666667</v>
      </c>
      <c r="B14" s="12"/>
      <c r="C14" s="12"/>
      <c r="D14" s="13" t="str">
        <f aca="false">IF(COUNT(B14:C14)=0,"",SUM(B14:C14))</f>
        <v/>
      </c>
      <c r="E14" s="12"/>
      <c r="F14" s="12"/>
      <c r="G14" s="12"/>
      <c r="H14" s="12"/>
      <c r="I14" s="12"/>
      <c r="J14" s="12"/>
      <c r="K14" s="13" t="str">
        <f aca="false">IF(COUNT(E14:J14)=0,"",SUM(E14:J14))</f>
        <v/>
      </c>
      <c r="L14" s="12"/>
      <c r="M14" s="12"/>
      <c r="N14" s="13" t="str">
        <f aca="false">IF(L14="","",L14-$E$8+N(M14))</f>
        <v/>
      </c>
      <c r="O14" s="14"/>
    </row>
    <row r="15" customFormat="false" ht="19.5" hidden="false" customHeight="true" outlineLevel="0" collapsed="false">
      <c r="A15" s="15" t="n">
        <v>0.3125</v>
      </c>
      <c r="B15" s="12"/>
      <c r="C15" s="12"/>
      <c r="D15" s="16" t="str">
        <f aca="false">IF(COUNT(B15:C15)=0,"",SUM(B15:C15))</f>
        <v/>
      </c>
      <c r="E15" s="12"/>
      <c r="F15" s="12"/>
      <c r="G15" s="12"/>
      <c r="H15" s="12"/>
      <c r="I15" s="12"/>
      <c r="J15" s="12"/>
      <c r="K15" s="16" t="str">
        <f aca="false">IF(COUNT(E15:J15)=0,"",SUM(E15:J15))</f>
        <v/>
      </c>
      <c r="L15" s="12"/>
      <c r="M15" s="12"/>
      <c r="N15" s="16" t="str">
        <f aca="false">IF(L15="","",L15-$E$8+N(M15))</f>
        <v/>
      </c>
      <c r="O15" s="14"/>
    </row>
    <row r="16" customFormat="false" ht="19.5" hidden="false" customHeight="true" outlineLevel="0" collapsed="false">
      <c r="A16" s="11" t="n">
        <v>0.333333333333333</v>
      </c>
      <c r="B16" s="12"/>
      <c r="C16" s="12"/>
      <c r="D16" s="13" t="str">
        <f aca="false">IF(COUNT(B16:C16)=0,"",SUM(B16:C16))</f>
        <v/>
      </c>
      <c r="E16" s="12"/>
      <c r="F16" s="12"/>
      <c r="G16" s="12"/>
      <c r="H16" s="12"/>
      <c r="I16" s="12"/>
      <c r="J16" s="12"/>
      <c r="K16" s="13" t="str">
        <f aca="false">IF(COUNT(E16:J16)=0,"",SUM(E16:J16))</f>
        <v/>
      </c>
      <c r="L16" s="12"/>
      <c r="M16" s="12"/>
      <c r="N16" s="13" t="str">
        <f aca="false">IF(L16="","",L16-$E$8+N(M16))</f>
        <v/>
      </c>
      <c r="O16" s="14"/>
    </row>
    <row r="17" customFormat="false" ht="19.5" hidden="false" customHeight="true" outlineLevel="0" collapsed="false">
      <c r="A17" s="15" t="n">
        <v>0.354166666666667</v>
      </c>
      <c r="B17" s="12"/>
      <c r="C17" s="12"/>
      <c r="D17" s="16" t="str">
        <f aca="false">IF(COUNT(B17:C17)=0,"",SUM(B17:C17))</f>
        <v/>
      </c>
      <c r="E17" s="12"/>
      <c r="F17" s="12"/>
      <c r="G17" s="12"/>
      <c r="H17" s="12"/>
      <c r="I17" s="12"/>
      <c r="J17" s="12"/>
      <c r="K17" s="16" t="str">
        <f aca="false">IF(COUNT(E17:J17)=0,"",SUM(E17:J17))</f>
        <v/>
      </c>
      <c r="L17" s="12"/>
      <c r="M17" s="12"/>
      <c r="N17" s="16" t="str">
        <f aca="false">IF(L17="","",L17-$E$8+N(M17))</f>
        <v/>
      </c>
      <c r="O17" s="14"/>
    </row>
    <row r="18" customFormat="false" ht="19.5" hidden="false" customHeight="true" outlineLevel="0" collapsed="false">
      <c r="A18" s="11" t="n">
        <v>0.375</v>
      </c>
      <c r="B18" s="12"/>
      <c r="C18" s="12"/>
      <c r="D18" s="13" t="str">
        <f aca="false">IF(COUNT(B18:C18)=0,"",SUM(B18:C18))</f>
        <v/>
      </c>
      <c r="E18" s="12"/>
      <c r="F18" s="12"/>
      <c r="G18" s="12"/>
      <c r="H18" s="12"/>
      <c r="I18" s="12"/>
      <c r="J18" s="12"/>
      <c r="K18" s="13" t="str">
        <f aca="false">IF(COUNT(E18:J18)=0,"",SUM(E18:J18))</f>
        <v/>
      </c>
      <c r="L18" s="12"/>
      <c r="M18" s="12"/>
      <c r="N18" s="13" t="str">
        <f aca="false">IF(L18="","",L18-$E$8+N(M18))</f>
        <v/>
      </c>
      <c r="O18" s="14"/>
    </row>
    <row r="19" customFormat="false" ht="19.5" hidden="false" customHeight="true" outlineLevel="0" collapsed="false">
      <c r="A19" s="15" t="n">
        <v>0.395833333333333</v>
      </c>
      <c r="B19" s="12"/>
      <c r="C19" s="12"/>
      <c r="D19" s="16" t="str">
        <f aca="false">IF(COUNT(B19:C19)=0,"",SUM(B19:C19))</f>
        <v/>
      </c>
      <c r="E19" s="12"/>
      <c r="F19" s="12"/>
      <c r="G19" s="12"/>
      <c r="H19" s="12"/>
      <c r="I19" s="12"/>
      <c r="J19" s="12"/>
      <c r="K19" s="16" t="str">
        <f aca="false">IF(COUNT(E19:J19)=0,"",SUM(E19:J19))</f>
        <v/>
      </c>
      <c r="L19" s="12"/>
      <c r="M19" s="12"/>
      <c r="N19" s="16" t="str">
        <f aca="false">IF(L19="","",L19-$E$8+N(M19))</f>
        <v/>
      </c>
      <c r="O19" s="14"/>
    </row>
    <row r="20" customFormat="false" ht="19.5" hidden="false" customHeight="true" outlineLevel="0" collapsed="false">
      <c r="A20" s="11" t="n">
        <v>0.416666666666667</v>
      </c>
      <c r="B20" s="12"/>
      <c r="C20" s="12"/>
      <c r="D20" s="13" t="str">
        <f aca="false">IF(COUNT(B20:C20)=0,"",SUM(B20:C20))</f>
        <v/>
      </c>
      <c r="E20" s="12"/>
      <c r="F20" s="12"/>
      <c r="G20" s="12"/>
      <c r="H20" s="12"/>
      <c r="I20" s="12"/>
      <c r="J20" s="12"/>
      <c r="K20" s="13" t="str">
        <f aca="false">IF(COUNT(E20:J20)=0,"",SUM(E20:J20))</f>
        <v/>
      </c>
      <c r="L20" s="12"/>
      <c r="M20" s="12"/>
      <c r="N20" s="13" t="str">
        <f aca="false">IF(L20="","",L20-$E$8+N(M20))</f>
        <v/>
      </c>
      <c r="O20" s="14"/>
    </row>
    <row r="21" customFormat="false" ht="19.5" hidden="false" customHeight="true" outlineLevel="0" collapsed="false">
      <c r="A21" s="15" t="n">
        <v>0.4375</v>
      </c>
      <c r="B21" s="12"/>
      <c r="C21" s="12"/>
      <c r="D21" s="16" t="str">
        <f aca="false">IF(COUNT(B21:C21)=0,"",SUM(B21:C21))</f>
        <v/>
      </c>
      <c r="E21" s="12"/>
      <c r="F21" s="12"/>
      <c r="G21" s="12"/>
      <c r="H21" s="12"/>
      <c r="I21" s="12"/>
      <c r="J21" s="12"/>
      <c r="K21" s="16" t="str">
        <f aca="false">IF(COUNT(E21:J21)=0,"",SUM(E21:J21))</f>
        <v/>
      </c>
      <c r="L21" s="12"/>
      <c r="M21" s="12"/>
      <c r="N21" s="16" t="str">
        <f aca="false">IF(L21="","",L21-$E$8+N(M21))</f>
        <v/>
      </c>
      <c r="O21" s="14"/>
    </row>
    <row r="22" customFormat="false" ht="19.5" hidden="false" customHeight="true" outlineLevel="0" collapsed="false">
      <c r="A22" s="11" t="n">
        <v>0.458333333333333</v>
      </c>
      <c r="B22" s="12"/>
      <c r="C22" s="12"/>
      <c r="D22" s="13" t="str">
        <f aca="false">IF(COUNT(B22:C22)=0,"",SUM(B22:C22))</f>
        <v/>
      </c>
      <c r="E22" s="12"/>
      <c r="F22" s="12"/>
      <c r="G22" s="12"/>
      <c r="H22" s="12"/>
      <c r="I22" s="12"/>
      <c r="J22" s="12"/>
      <c r="K22" s="13" t="str">
        <f aca="false">IF(COUNT(E22:J22)=0,"",SUM(E22:J22))</f>
        <v/>
      </c>
      <c r="L22" s="12"/>
      <c r="M22" s="12"/>
      <c r="N22" s="13" t="str">
        <f aca="false">IF(L22="","",L22-$E$8+N(M22))</f>
        <v/>
      </c>
      <c r="O22" s="14"/>
    </row>
    <row r="23" customFormat="false" ht="19.5" hidden="false" customHeight="true" outlineLevel="0" collapsed="false">
      <c r="A23" s="15" t="n">
        <v>0.479166666666667</v>
      </c>
      <c r="B23" s="12"/>
      <c r="C23" s="12"/>
      <c r="D23" s="16" t="str">
        <f aca="false">IF(COUNT(B23:C23)=0,"",SUM(B23:C23))</f>
        <v/>
      </c>
      <c r="E23" s="12"/>
      <c r="F23" s="12"/>
      <c r="G23" s="12"/>
      <c r="H23" s="12"/>
      <c r="I23" s="12"/>
      <c r="J23" s="12"/>
      <c r="K23" s="16" t="str">
        <f aca="false">IF(COUNT(E23:J23)=0,"",SUM(E23:J23))</f>
        <v/>
      </c>
      <c r="L23" s="12"/>
      <c r="M23" s="12"/>
      <c r="N23" s="16" t="str">
        <f aca="false">IF(L23="","",L23-$E$8+N(M23))</f>
        <v/>
      </c>
      <c r="O23" s="14"/>
    </row>
    <row r="24" customFormat="false" ht="19.5" hidden="false" customHeight="true" outlineLevel="0" collapsed="false">
      <c r="A24" s="11" t="n">
        <v>0.5</v>
      </c>
      <c r="B24" s="12"/>
      <c r="C24" s="12"/>
      <c r="D24" s="13" t="str">
        <f aca="false">IF(COUNT(B24:C24)=0,"",SUM(B24:C24))</f>
        <v/>
      </c>
      <c r="E24" s="12"/>
      <c r="F24" s="12"/>
      <c r="G24" s="12"/>
      <c r="H24" s="12"/>
      <c r="I24" s="12"/>
      <c r="J24" s="12"/>
      <c r="K24" s="13" t="str">
        <f aca="false">IF(COUNT(E24:J24)=0,"",SUM(E24:J24))</f>
        <v/>
      </c>
      <c r="L24" s="12"/>
      <c r="M24" s="12"/>
      <c r="N24" s="13" t="str">
        <f aca="false">IF(L24="","",L24-$E$8+N(M24))</f>
        <v/>
      </c>
      <c r="O24" s="14"/>
    </row>
    <row r="25" customFormat="false" ht="19.5" hidden="false" customHeight="true" outlineLevel="0" collapsed="false">
      <c r="A25" s="15" t="n">
        <v>0.520833333333333</v>
      </c>
      <c r="B25" s="12"/>
      <c r="C25" s="12"/>
      <c r="D25" s="16" t="str">
        <f aca="false">IF(COUNT(B25:C25)=0,"",SUM(B25:C25))</f>
        <v/>
      </c>
      <c r="E25" s="12"/>
      <c r="F25" s="12"/>
      <c r="G25" s="12"/>
      <c r="H25" s="12"/>
      <c r="I25" s="12"/>
      <c r="J25" s="12"/>
      <c r="K25" s="16" t="str">
        <f aca="false">IF(COUNT(E25:J25)=0,"",SUM(E25:J25))</f>
        <v/>
      </c>
      <c r="L25" s="12"/>
      <c r="M25" s="12"/>
      <c r="N25" s="16" t="str">
        <f aca="false">IF(L25="","",L25-$E$8+N(M25))</f>
        <v/>
      </c>
      <c r="O25" s="14"/>
    </row>
    <row r="26" customFormat="false" ht="19.5" hidden="false" customHeight="true" outlineLevel="0" collapsed="false">
      <c r="A26" s="11" t="n">
        <v>0.541666666666667</v>
      </c>
      <c r="B26" s="12"/>
      <c r="C26" s="12"/>
      <c r="D26" s="13" t="str">
        <f aca="false">IF(COUNT(B26:C26)=0,"",SUM(B26:C26))</f>
        <v/>
      </c>
      <c r="E26" s="12"/>
      <c r="F26" s="12"/>
      <c r="G26" s="12"/>
      <c r="H26" s="12"/>
      <c r="I26" s="12"/>
      <c r="J26" s="12"/>
      <c r="K26" s="13" t="str">
        <f aca="false">IF(COUNT(E26:J26)=0,"",SUM(E26:J26))</f>
        <v/>
      </c>
      <c r="L26" s="12"/>
      <c r="M26" s="12"/>
      <c r="N26" s="13" t="str">
        <f aca="false">IF(L26="","",L26-$E$8+N(M26))</f>
        <v/>
      </c>
      <c r="O26" s="14"/>
    </row>
    <row r="27" customFormat="false" ht="19.5" hidden="false" customHeight="true" outlineLevel="0" collapsed="false">
      <c r="A27" s="15" t="n">
        <v>0.5625</v>
      </c>
      <c r="B27" s="12"/>
      <c r="C27" s="12"/>
      <c r="D27" s="16" t="str">
        <f aca="false">IF(COUNT(B27:C27)=0,"",SUM(B27:C27))</f>
        <v/>
      </c>
      <c r="E27" s="12"/>
      <c r="F27" s="12"/>
      <c r="G27" s="12"/>
      <c r="H27" s="12"/>
      <c r="I27" s="12"/>
      <c r="J27" s="12"/>
      <c r="K27" s="16" t="str">
        <f aca="false">IF(COUNT(E27:J27)=0,"",SUM(E27:J27))</f>
        <v/>
      </c>
      <c r="L27" s="12"/>
      <c r="M27" s="12"/>
      <c r="N27" s="16" t="str">
        <f aca="false">IF(L27="","",L27-$E$8+N(M27))</f>
        <v/>
      </c>
      <c r="O27" s="14"/>
    </row>
    <row r="28" customFormat="false" ht="19.5" hidden="false" customHeight="true" outlineLevel="0" collapsed="false">
      <c r="A28" s="11" t="n">
        <v>0.583333333333333</v>
      </c>
      <c r="B28" s="12" t="n">
        <v>95</v>
      </c>
      <c r="C28" s="12" t="n">
        <v>110</v>
      </c>
      <c r="D28" s="13" t="n">
        <f aca="false">IF(COUNT(B28:C28)=0,"",SUM(B28:C28))</f>
        <v>205</v>
      </c>
      <c r="E28" s="12" t="n">
        <v>56</v>
      </c>
      <c r="F28" s="12" t="n">
        <v>29</v>
      </c>
      <c r="G28" s="12" t="n">
        <v>10</v>
      </c>
      <c r="H28" s="12" t="n">
        <v>27</v>
      </c>
      <c r="I28" s="12" t="n">
        <v>16</v>
      </c>
      <c r="J28" s="12" t="n">
        <v>67</v>
      </c>
      <c r="K28" s="13" t="n">
        <f aca="false">IF(COUNT(E28:J28)=0,"",SUM(E28:J28))</f>
        <v>205</v>
      </c>
      <c r="L28" s="12" t="n">
        <v>2665</v>
      </c>
      <c r="M28" s="12" t="n">
        <v>2</v>
      </c>
      <c r="N28" s="13" t="n">
        <f aca="false">IF(L28="","",L28-$E$8+N(M28))</f>
        <v>205</v>
      </c>
      <c r="O28" s="21" t="s">
        <v>34</v>
      </c>
    </row>
    <row r="29" customFormat="false" ht="19.5" hidden="false" customHeight="true" outlineLevel="0" collapsed="false">
      <c r="A29" s="15" t="n">
        <v>0.604166666666667</v>
      </c>
      <c r="B29" s="12" t="n">
        <v>101</v>
      </c>
      <c r="C29" s="12" t="n">
        <v>117</v>
      </c>
      <c r="D29" s="16" t="n">
        <f aca="false">IF(COUNT(B29:C29)=0,"",SUM(B29:C29))</f>
        <v>218</v>
      </c>
      <c r="E29" s="12" t="n">
        <v>58</v>
      </c>
      <c r="F29" s="12" t="n">
        <v>32</v>
      </c>
      <c r="G29" s="12" t="n">
        <v>11</v>
      </c>
      <c r="H29" s="12" t="n">
        <v>28</v>
      </c>
      <c r="I29" s="12" t="n">
        <v>16</v>
      </c>
      <c r="J29" s="12" t="n">
        <v>73</v>
      </c>
      <c r="K29" s="16" t="n">
        <f aca="false">IF(COUNT(E29:J29)=0,"",SUM(E29:J29))</f>
        <v>218</v>
      </c>
      <c r="L29" s="12" t="n">
        <v>2680</v>
      </c>
      <c r="M29" s="12"/>
      <c r="N29" s="16" t="n">
        <f aca="false">IF(L29="","",L29-$E$8+N(M29))</f>
        <v>218</v>
      </c>
      <c r="O29" s="14"/>
    </row>
    <row r="30" customFormat="false" ht="19.5" hidden="false" customHeight="true" outlineLevel="0" collapsed="false">
      <c r="A30" s="11" t="n">
        <v>0.625</v>
      </c>
      <c r="B30" s="12" t="n">
        <v>108</v>
      </c>
      <c r="C30" s="12" t="n">
        <v>123</v>
      </c>
      <c r="D30" s="13" t="n">
        <f aca="false">IF(COUNT(B30:C30)=0,"",SUM(B30:C30))</f>
        <v>231</v>
      </c>
      <c r="E30" s="12" t="n">
        <v>62</v>
      </c>
      <c r="F30" s="12" t="n">
        <v>33</v>
      </c>
      <c r="G30" s="12" t="n">
        <v>13</v>
      </c>
      <c r="H30" s="12" t="n">
        <v>30</v>
      </c>
      <c r="I30" s="12" t="n">
        <v>18</v>
      </c>
      <c r="J30" s="12" t="n">
        <v>75</v>
      </c>
      <c r="K30" s="13" t="n">
        <f aca="false">IF(COUNT(E30:J30)=0,"",SUM(E30:J30))</f>
        <v>231</v>
      </c>
      <c r="L30" s="12" t="n">
        <v>2691</v>
      </c>
      <c r="M30" s="12" t="n">
        <v>2</v>
      </c>
      <c r="N30" s="13" t="n">
        <f aca="false">IF(L30="","",L30-$E$8+N(M30))</f>
        <v>231</v>
      </c>
      <c r="O30" s="14"/>
    </row>
    <row r="31" customFormat="false" ht="19.5" hidden="false" customHeight="true" outlineLevel="0" collapsed="false">
      <c r="A31" s="15" t="n">
        <v>0.645833333333333</v>
      </c>
      <c r="B31" s="12" t="n">
        <v>110</v>
      </c>
      <c r="C31" s="12" t="n">
        <v>127</v>
      </c>
      <c r="D31" s="16" t="n">
        <f aca="false">IF(COUNT(B31:C31)=0,"",SUM(B31:C31))</f>
        <v>237</v>
      </c>
      <c r="E31" s="12" t="n">
        <v>62</v>
      </c>
      <c r="F31" s="12" t="n">
        <v>34</v>
      </c>
      <c r="G31" s="12" t="n">
        <v>14</v>
      </c>
      <c r="H31" s="12" t="n">
        <v>32</v>
      </c>
      <c r="I31" s="12" t="n">
        <v>18</v>
      </c>
      <c r="J31" s="12" t="n">
        <v>77</v>
      </c>
      <c r="K31" s="16" t="n">
        <f aca="false">IF(COUNT(E31:J31)=0,"",SUM(E31:J31))</f>
        <v>237</v>
      </c>
      <c r="L31" s="12" t="n">
        <v>2698</v>
      </c>
      <c r="M31" s="12" t="n">
        <v>1</v>
      </c>
      <c r="N31" s="16" t="n">
        <f aca="false">IF(L31="","",L31-$E$8+N(M31))</f>
        <v>237</v>
      </c>
      <c r="O31" s="14"/>
    </row>
    <row r="32" customFormat="false" ht="19.5" hidden="false" customHeight="true" outlineLevel="0" collapsed="false">
      <c r="A32" s="11" t="n">
        <v>0.666666666666667</v>
      </c>
      <c r="B32" s="12" t="n">
        <v>123</v>
      </c>
      <c r="C32" s="12" t="n">
        <v>135</v>
      </c>
      <c r="D32" s="13" t="n">
        <f aca="false">IF(COUNT(B32:C32)=0,"",SUM(B32:C32))</f>
        <v>258</v>
      </c>
      <c r="E32" s="12" t="n">
        <v>74</v>
      </c>
      <c r="F32" s="12" t="n">
        <v>34</v>
      </c>
      <c r="G32" s="12" t="n">
        <v>15</v>
      </c>
      <c r="H32" s="12" t="n">
        <v>33</v>
      </c>
      <c r="I32" s="12" t="n">
        <v>18</v>
      </c>
      <c r="J32" s="12" t="n">
        <v>84</v>
      </c>
      <c r="K32" s="13" t="n">
        <f aca="false">IF(COUNT(E32:J32)=0,"",SUM(E32:J32))</f>
        <v>258</v>
      </c>
      <c r="L32" s="12" t="n">
        <v>2720</v>
      </c>
      <c r="M32" s="12"/>
      <c r="N32" s="13" t="n">
        <f aca="false">IF(L32="","",L32-$E$8+N(M32))</f>
        <v>258</v>
      </c>
      <c r="O32" s="14"/>
    </row>
    <row r="33" customFormat="false" ht="19.5" hidden="false" customHeight="true" outlineLevel="0" collapsed="false">
      <c r="A33" s="15" t="n">
        <v>0.6875</v>
      </c>
      <c r="B33" s="12" t="n">
        <v>128</v>
      </c>
      <c r="C33" s="12" t="n">
        <v>141</v>
      </c>
      <c r="D33" s="16" t="n">
        <f aca="false">IF(COUNT(B33:C33)=0,"",SUM(B33:C33))</f>
        <v>269</v>
      </c>
      <c r="E33" s="12" t="n">
        <v>78</v>
      </c>
      <c r="F33" s="12" t="n">
        <v>35</v>
      </c>
      <c r="G33" s="12" t="n">
        <v>15</v>
      </c>
      <c r="H33" s="12" t="n">
        <v>34</v>
      </c>
      <c r="I33" s="12" t="n">
        <v>18</v>
      </c>
      <c r="J33" s="12" t="n">
        <v>89</v>
      </c>
      <c r="K33" s="16" t="n">
        <f aca="false">IF(COUNT(E33:J33)=0,"",SUM(E33:J33))</f>
        <v>269</v>
      </c>
      <c r="L33" s="12" t="n">
        <v>2731</v>
      </c>
      <c r="M33" s="12"/>
      <c r="N33" s="16" t="n">
        <f aca="false">IF(L33="","",L33-$E$8+N(M33))</f>
        <v>269</v>
      </c>
      <c r="O33" s="14"/>
    </row>
    <row r="34" customFormat="false" ht="19.5" hidden="false" customHeight="true" outlineLevel="0" collapsed="false">
      <c r="A34" s="11" t="n">
        <v>0.708333333333333</v>
      </c>
      <c r="B34" s="12"/>
      <c r="C34" s="12"/>
      <c r="D34" s="13" t="str">
        <f aca="false">IF(COUNT(B34:C34)=0,"",SUM(B34:C34))</f>
        <v/>
      </c>
      <c r="E34" s="12"/>
      <c r="F34" s="12"/>
      <c r="G34" s="12"/>
      <c r="H34" s="12"/>
      <c r="I34" s="12"/>
      <c r="J34" s="12"/>
      <c r="K34" s="13" t="str">
        <f aca="false">IF(COUNT(E34:J34)=0,"",SUM(E34:J34))</f>
        <v/>
      </c>
      <c r="L34" s="12"/>
      <c r="M34" s="12"/>
      <c r="N34" s="13" t="str">
        <f aca="false">IF(L34="","",L34-$E$8+N(M34))</f>
        <v/>
      </c>
      <c r="O34" s="14"/>
    </row>
    <row r="35" customFormat="false" ht="19.5" hidden="false" customHeight="true" outlineLevel="0" collapsed="false">
      <c r="A35" s="15" t="n">
        <v>0.729166666666667</v>
      </c>
      <c r="B35" s="12"/>
      <c r="C35" s="12"/>
      <c r="D35" s="16" t="str">
        <f aca="false">IF(COUNT(B35:C35)=0,"",SUM(B35:C35))</f>
        <v/>
      </c>
      <c r="E35" s="12"/>
      <c r="F35" s="12"/>
      <c r="G35" s="12"/>
      <c r="H35" s="12"/>
      <c r="I35" s="12"/>
      <c r="J35" s="12"/>
      <c r="K35" s="16" t="str">
        <f aca="false">IF(COUNT(E35:J35)=0,"",SUM(E35:J35))</f>
        <v/>
      </c>
      <c r="L35" s="12"/>
      <c r="M35" s="12"/>
      <c r="N35" s="16" t="str">
        <f aca="false">IF(L35="","",L35-$E$8+N(M35))</f>
        <v/>
      </c>
      <c r="O35" s="14"/>
    </row>
    <row r="36" customFormat="false" ht="19.5" hidden="false" customHeight="true" outlineLevel="0" collapsed="false">
      <c r="A36" s="11" t="n">
        <v>0.75</v>
      </c>
      <c r="B36" s="12"/>
      <c r="C36" s="12"/>
      <c r="D36" s="13" t="str">
        <f aca="false">IF(COUNT(B36:C36)=0,"",SUM(B36:C36))</f>
        <v/>
      </c>
      <c r="E36" s="12"/>
      <c r="F36" s="12"/>
      <c r="G36" s="12"/>
      <c r="H36" s="12"/>
      <c r="I36" s="12"/>
      <c r="J36" s="12"/>
      <c r="K36" s="13" t="str">
        <f aca="false">IF(COUNT(E36:J36)=0,"",SUM(E36:J36))</f>
        <v/>
      </c>
      <c r="L36" s="12"/>
      <c r="M36" s="12"/>
      <c r="N36" s="13" t="str">
        <f aca="false">IF(L36="","",L36-$E$8+N(M36))</f>
        <v/>
      </c>
      <c r="O36" s="14"/>
    </row>
    <row r="37" customFormat="false" ht="19.5" hidden="false" customHeight="true" outlineLevel="0" collapsed="false">
      <c r="A37" s="15" t="n">
        <v>0.770833333333333</v>
      </c>
      <c r="B37" s="12"/>
      <c r="C37" s="12"/>
      <c r="D37" s="16" t="str">
        <f aca="false">IF(COUNT(B37:C37)=0,"",SUM(B37:C37))</f>
        <v/>
      </c>
      <c r="E37" s="12"/>
      <c r="F37" s="12"/>
      <c r="G37" s="12"/>
      <c r="H37" s="12"/>
      <c r="I37" s="12"/>
      <c r="J37" s="12"/>
      <c r="K37" s="16" t="str">
        <f aca="false">IF(COUNT(E37:J37)=0,"",SUM(E37:J37))</f>
        <v/>
      </c>
      <c r="L37" s="12"/>
      <c r="M37" s="12"/>
      <c r="N37" s="16" t="str">
        <f aca="false">IF(L37="","",L37-$E$8+N(M37))</f>
        <v/>
      </c>
      <c r="O37" s="14"/>
    </row>
    <row r="38" customFormat="false" ht="19.5" hidden="false" customHeight="true" outlineLevel="0" collapsed="false">
      <c r="A38" s="11" t="n">
        <v>0.791666666666667</v>
      </c>
      <c r="B38" s="12"/>
      <c r="C38" s="12"/>
      <c r="D38" s="13" t="str">
        <f aca="false">IF(COUNT(B38:C38)=0,"",SUM(B38:C38))</f>
        <v/>
      </c>
      <c r="E38" s="12"/>
      <c r="F38" s="12"/>
      <c r="G38" s="12"/>
      <c r="H38" s="12"/>
      <c r="I38" s="12"/>
      <c r="J38" s="12"/>
      <c r="K38" s="13" t="str">
        <f aca="false">IF(COUNT(E38:J38)=0,"",SUM(E38:J38))</f>
        <v/>
      </c>
      <c r="L38" s="12"/>
      <c r="M38" s="12"/>
      <c r="N38" s="13" t="str">
        <f aca="false">IF(L38="","",L38-$E$8+N(M38))</f>
        <v/>
      </c>
      <c r="O38" s="14"/>
    </row>
    <row r="39" customFormat="false" ht="19.5" hidden="false" customHeight="true" outlineLevel="0" collapsed="false">
      <c r="A39" s="15" t="n">
        <v>0.8125</v>
      </c>
      <c r="B39" s="12"/>
      <c r="C39" s="12"/>
      <c r="D39" s="16" t="str">
        <f aca="false">IF(COUNT(B39:C39)=0,"",SUM(B39:C39))</f>
        <v/>
      </c>
      <c r="E39" s="12"/>
      <c r="F39" s="12"/>
      <c r="G39" s="12"/>
      <c r="H39" s="12"/>
      <c r="I39" s="12"/>
      <c r="J39" s="12"/>
      <c r="K39" s="16" t="str">
        <f aca="false">IF(COUNT(E39:J39)=0,"",SUM(E39:J39))</f>
        <v/>
      </c>
      <c r="L39" s="12"/>
      <c r="M39" s="12"/>
      <c r="N39" s="16" t="str">
        <f aca="false">IF(L39="","",L39-$E$8+N(M39))</f>
        <v/>
      </c>
      <c r="O39" s="14"/>
    </row>
    <row r="40" customFormat="false" ht="19.5" hidden="false" customHeight="true" outlineLevel="0" collapsed="false">
      <c r="A40" s="11" t="n">
        <v>0.833333333333333</v>
      </c>
      <c r="B40" s="12"/>
      <c r="C40" s="12"/>
      <c r="D40" s="13" t="str">
        <f aca="false">IF(COUNT(B40:C40)=0,"",SUM(B40:C40))</f>
        <v/>
      </c>
      <c r="E40" s="12"/>
      <c r="F40" s="12"/>
      <c r="G40" s="12"/>
      <c r="H40" s="12"/>
      <c r="I40" s="12"/>
      <c r="J40" s="12"/>
      <c r="K40" s="13" t="str">
        <f aca="false">IF(COUNT(E40:J40)=0,"",SUM(E40:J40))</f>
        <v/>
      </c>
      <c r="L40" s="12"/>
      <c r="M40" s="12"/>
      <c r="N40" s="13" t="str">
        <f aca="false">IF(L40="","",L40-$E$8+N(M40))</f>
        <v/>
      </c>
      <c r="O40" s="14"/>
    </row>
    <row r="41" customFormat="false" ht="21.75" hidden="false" customHeight="true" outlineLevel="0" collapsed="false">
      <c r="A41" s="17" t="s">
        <v>26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customFormat="false" ht="15" hidden="false" customHeight="false" outlineLevel="0" collapsed="false">
      <c r="A42" s="5" t="s">
        <v>27</v>
      </c>
    </row>
    <row r="43" customFormat="false" ht="27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19"/>
      <c r="O43" s="19"/>
    </row>
    <row r="44" customFormat="false" ht="15" hidden="false" customHeight="false" outlineLevel="0" collapsed="false">
      <c r="A44" s="20" t="s">
        <v>28</v>
      </c>
      <c r="B44" s="20"/>
      <c r="C44" s="20"/>
      <c r="D44" s="20"/>
      <c r="E44" s="20"/>
      <c r="F44" s="20"/>
      <c r="G44" s="20" t="s">
        <v>29</v>
      </c>
      <c r="H44" s="20"/>
      <c r="I44" s="20"/>
      <c r="J44" s="20"/>
      <c r="K44" s="20"/>
      <c r="L44" s="20"/>
      <c r="M44" s="20" t="s">
        <v>30</v>
      </c>
      <c r="N44" s="20"/>
      <c r="O44" s="20"/>
    </row>
  </sheetData>
  <mergeCells count="19">
    <mergeCell ref="A1:O1"/>
    <mergeCell ref="A2:O2"/>
    <mergeCell ref="A3:O3"/>
    <mergeCell ref="A4:O4"/>
    <mergeCell ref="C6:H6"/>
    <mergeCell ref="K6:O6"/>
    <mergeCell ref="C7:H7"/>
    <mergeCell ref="K7:O7"/>
    <mergeCell ref="E8:F8"/>
    <mergeCell ref="B10:D10"/>
    <mergeCell ref="E10:K10"/>
    <mergeCell ref="L10:N10"/>
    <mergeCell ref="A41:O41"/>
    <mergeCell ref="A43:F43"/>
    <mergeCell ref="G43:L43"/>
    <mergeCell ref="M43:O43"/>
    <mergeCell ref="A44:F44"/>
    <mergeCell ref="G44:L44"/>
    <mergeCell ref="M44:O44"/>
  </mergeCells>
  <dataValidations count="1">
    <dataValidation allowBlank="true" error="Enter a whole number of 0 or more." errorStyle="stop" errorTitle="Invalid count" operator="greaterThanOrEqual" showDropDown="false" showErrorMessage="false" showInputMessage="false" sqref="E8 B12:C40 E12:J40 L12:L40" type="whole">
      <formula1>0</formula1>
      <formula2>0</formula2>
    </dataValidation>
  </dataValidations>
  <printOptions headings="false" gridLines="false" gridLinesSet="true" horizontalCentered="true" verticalCentered="false"/>
  <pageMargins left="0.4" right="0.4" top="0.4" bottom="0.6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&amp;L&amp;"Arial,Regular"&amp;8 City of Torrington – Voting Poll Ballot Count&amp;R&amp;"Arial,Regular"&amp;9 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2026-10-30T14:02:29Z</dcterms:created>
  <dc:creator>openpyxl</dc:creator>
  <dc:description/>
  <dc:language>en-US</dc:language>
  <cp:lastModifiedBy/>
  <dcterms:modified xsi:type="dcterms:W3CDTF">2026-10-30T14:02:29Z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